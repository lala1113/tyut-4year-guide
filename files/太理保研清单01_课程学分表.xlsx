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31ade9e5c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拍摄展示版" sheetId="1" r:id="R2cc7dd7399544d61"/>
    <x:sheet xmlns:r="http://schemas.openxmlformats.org/officeDocument/2006/relationships" name="可填写模板" sheetId="2" r:id="R89678c09d8704ba1"/>
    <x:sheet xmlns:r="http://schemas.openxmlformats.org/officeDocument/2006/relationships" name="口径说明" sheetId="3" r:id="Rdf8f612bd48e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16">
    <x:font>
      <x:sz val="11"/>
      <x:name val="Carlito"/>
    </x:font>
    <x:font>
      <x:sz val="11"/>
      <x:color rgb="FF243B53"/>
      <x:name val="Carlito"/>
    </x:font>
    <x:font>
      <x:b/>
      <x:sz val="22"/>
      <x:color rgb="FFFFFFFF"/>
      <x:name val="Carlito"/>
    </x:font>
    <x:font>
      <x:b/>
      <x:sz val="11"/>
      <x:color rgb="FFFFFFFF"/>
      <x:name val="Carlito"/>
    </x:font>
    <x:font>
      <x:i/>
      <x:sz val="9"/>
      <x:color rgb="FF243B53"/>
      <x:name val="Carlito"/>
    </x:font>
    <x:font>
      <x:b/>
      <x:sz val="11"/>
      <x:color rgb="FF0F9D8D"/>
      <x:name val="Carlito"/>
    </x:font>
    <x:font>
      <x:sz val="10"/>
      <x:color rgb="FF243B53"/>
      <x:name val="Carlito"/>
    </x:font>
    <x:font>
      <x:b/>
      <x:sz val="12"/>
      <x:color rgb="FFFFFFFF"/>
      <x:name val="Carlito"/>
    </x:font>
    <x:font>
      <x:b/>
      <x:sz val="20"/>
      <x:color rgb="FFFFFFFF"/>
      <x:name val="Carlito"/>
    </x:font>
    <x:font>
      <x:b/>
      <x:sz val="11"/>
      <x:color rgb="FF243B53"/>
      <x:name val="Carlito"/>
    </x:font>
    <x:font>
      <x:b/>
      <x:sz val="13"/>
      <x:color rgb="FF0F9D8D"/>
      <x:name val="Carlito"/>
    </x:font>
    <x:font>
      <x:sz val="10"/>
      <x:color rgb="FF627D98"/>
      <x:name val="Carlito"/>
    </x:font>
    <x:font>
      <x:b/>
      <x:sz val="10"/>
      <x:color rgb="FF243B53"/>
      <x:name val="Carlito"/>
    </x:font>
    <x:font>
      <x:b/>
      <x:sz val="12"/>
      <x:color rgb="FF0F9D8D"/>
      <x:name val="Carlito"/>
    </x:font>
    <x:font>
      <x:i/>
      <x:sz val="9"/>
      <x:color rgb="FF627D98"/>
      <x:name val="Carlito"/>
    </x:font>
    <x:font>
      <x:b/>
      <x:sz val="18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8FB"/>
      </x:patternFill>
    </x:fill>
    <x:fill>
      <x:patternFill patternType="solid">
        <x:fgColor rgb="FF102A43"/>
      </x:patternFill>
    </x:fill>
    <x:fill>
      <x:patternFill patternType="solid">
        <x:fgColor rgb="FF0F9D8D"/>
      </x:patternFill>
    </x:fill>
    <x:fill>
      <x:patternFill patternType="solid">
        <x:fgColor rgb="FFFFF4CC"/>
      </x:patternFill>
    </x:fill>
    <x:fill>
      <x:patternFill patternType="solid">
        <x:fgColor rgb="FFE7F6F3"/>
      </x:patternFill>
    </x:fill>
    <x:fill>
      <x:patternFill patternType="solid">
        <x:fgColor rgb="FF1E5AA8"/>
      </x:patternFill>
    </x:fill>
    <x:fill>
      <x:patternFill patternType="solid">
        <x:fgColor rgb="FFFFFFFF"/>
      </x:patternFill>
    </x:fill>
    <x:fill>
      <x:patternFill patternType="solid">
        <x:fgColor rgb="FFF47C6C"/>
      </x:patternFill>
    </x:fill>
  </x:fills>
  <x:borders count="24">
    <x:border/>
    <x:border>
      <x:left style="thin">
        <x:color rgb="FFA7D8D1"/>
      </x:left>
      <x:top style="thin">
        <x:color rgb="FFA7D8D1"/>
      </x:top>
      <x:bottom style="thin">
        <x:color rgb="FFA7D8D1"/>
      </x:bottom>
    </x:border>
    <x:border>
      <x:top style="thin">
        <x:color rgb="FFA7D8D1"/>
      </x:top>
      <x:bottom style="thin">
        <x:color rgb="FFA7D8D1"/>
      </x:bottom>
    </x:border>
    <x:border>
      <x:right style="thin">
        <x:color rgb="FFA7D8D1"/>
      </x:right>
      <x:top style="thin">
        <x:color rgb="FFA7D8D1"/>
      </x:top>
      <x:bottom style="thin">
        <x:color rgb="FFA7D8D1"/>
      </x:bottom>
    </x:border>
    <x:border>
      <x:left style="medium">
        <x:color rgb="FF1E5AA8"/>
      </x:left>
      <x:top style="medium">
        <x:color rgb="FF1E5AA8"/>
      </x:top>
      <x:bottom style="medium">
        <x:color rgb="FF1E5AA8"/>
      </x:bottom>
    </x:border>
    <x:border>
      <x:top style="medium">
        <x:color rgb="FF1E5AA8"/>
      </x:top>
      <x:bottom style="medium">
        <x:color rgb="FF1E5AA8"/>
      </x:bottom>
    </x:border>
    <x:border>
      <x:right style="medium">
        <x:color rgb="FF1E5AA8"/>
      </x:right>
      <x:top style="medium">
        <x:color rgb="FF1E5AA8"/>
      </x:top>
      <x:bottom style="medium">
        <x:color rgb="FF1E5AA8"/>
      </x:bottom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medium">
        <x:color rgb="FFD9E2EC"/>
      </x:bottom>
    </x:border>
    <x:border>
      <x:top style="thin">
        <x:color rgb="FFD9E2EC"/>
      </x:top>
      <x:bottom style="medium">
        <x:color rgb="FFD9E2EC"/>
      </x:bottom>
    </x:border>
    <x:border>
      <x:right style="thin">
        <x:color rgb="FFD9E2EC"/>
      </x:right>
      <x:top style="thin">
        <x:color rgb="FFD9E2EC"/>
      </x:top>
      <x:bottom style="medium">
        <x:color rgb="FFD9E2EC"/>
      </x:bottom>
    </x:border>
    <x:border>
      <x:right style="thin">
        <x:color rgb="FFA7D8D1"/>
      </x:right>
    </x:border>
    <x:border>
      <x:left style="thin">
        <x:color rgb="FFA7D8D1"/>
      </x:left>
      <x:right style="thin">
        <x:color rgb="FFA7D8D1"/>
      </x:right>
    </x:border>
    <x:border>
      <x:left style="thin">
        <x:color rgb="FFA7D8D1"/>
      </x:left>
    </x:border>
    <x:border>
      <x:left style="thin">
        <x:color rgb="FFA7D8D1"/>
      </x:left>
      <x:right style="thin">
        <x:color rgb="FFA7D8D1"/>
      </x:right>
      <x:top style="thin">
        <x:color rgb="FFA7D8D1"/>
      </x:top>
      <x:bottom style="thin">
        <x:color rgb="FFA7D8D1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top style="thin">
        <x:color rgb="FFD9E2EC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4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6" xfId="0" applyNumberFormat="1" applyFont="1" applyFill="1" applyBorder="1" applyAlignment="1">
      <x:alignment horizont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5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center" wrapText="1"/>
    </x:xf>
    <x:xf numFmtId="0" fontId="6" fillId="8" borderId="10" xfId="0" applyNumberFormat="1" applyFont="1" applyFill="1" applyBorder="1" applyAlignment="1">
      <x:alignment vertical="center" wrapText="1"/>
    </x:xf>
    <x:xf numFmtId="0" fontId="6" fillId="8" borderId="11" xfId="0" applyNumberFormat="1" applyFont="1" applyFill="1" applyBorder="1" applyAlignment="1">
      <x:alignment vertical="center" wrapText="1"/>
    </x:xf>
    <x:xf numFmtId="0" fontId="6" fillId="8" borderId="12" xfId="0" applyNumberFormat="1" applyFont="1" applyFill="1" applyBorder="1" applyAlignment="1">
      <x:alignment vertical="center"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15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200" fontId="6" fillId="8" borderId="8" xfId="0" applyNumberFormat="1" applyFont="1" applyFill="1" applyBorder="1" applyAlignment="1">
      <x:alignment horizontal="center" vertical="center" wrapText="1"/>
    </x:xf>
    <x:xf numFmtId="200" fontId="6" fillId="8" borderId="11" xfId="0" applyNumberFormat="1" applyFont="1" applyFill="1" applyBorder="1" applyAlignment="1">
      <x:alignment horizontal="center" vertical="center" wrapText="1"/>
    </x:xf>
    <x:xf numFmtId="200" fontId="6" fillId="8" borderId="14" xfId="0" applyNumberFormat="1" applyFont="1" applyFill="1" applyBorder="1" applyAlignment="1">
      <x:alignment horizontal="center" vertical="center" wrapText="1"/>
    </x:xf>
    <x:xf numFmtId="201" fontId="6" fillId="8" borderId="8" xfId="0" applyNumberFormat="1" applyFont="1" applyFill="1" applyBorder="1" applyAlignment="1">
      <x:alignment horizontal="center" vertical="center" wrapText="1"/>
    </x:xf>
    <x:xf numFmtId="201" fontId="6" fillId="8" borderId="11" xfId="0" applyNumberFormat="1" applyFont="1" applyFill="1" applyBorder="1" applyAlignment="1">
      <x:alignment horizontal="center" vertical="center" wrapText="1"/>
    </x:xf>
    <x:xf numFmtId="201" fontId="6" fillId="8" borderId="1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0" fontId="9" fillId="6" borderId="16" xfId="0" applyNumberFormat="1" applyFont="1" applyFill="1" applyBorder="1" applyAlignment="1">
      <x:alignment horizontal="center"/>
    </x:xf>
    <x:xf numFmtId="0" fontId="9" fillId="6" borderId="17" xfId="0" applyNumberFormat="1" applyFont="1" applyFill="1" applyBorder="1" applyAlignment="1">
      <x:alignment horizontal="center"/>
    </x:xf>
    <x:xf numFmtId="0" fontId="9" fillId="6" borderId="18" xfId="0" applyNumberFormat="1" applyFont="1" applyFill="1" applyBorder="1" applyAlignment="1">
      <x:alignment horizontal="center"/>
    </x:xf>
    <x:xf numFmtId="0" fontId="9" fillId="6" borderId="16" xfId="0" applyNumberFormat="1" applyFont="1" applyFill="1" applyBorder="1" applyAlignment="1">
      <x:alignment horizontal="center" vertical="center"/>
    </x:xf>
    <x:xf numFmtId="0" fontId="9" fillId="6" borderId="17" xfId="0" applyNumberFormat="1" applyFont="1" applyFill="1" applyBorder="1" applyAlignment="1">
      <x:alignment horizontal="center" vertical="center"/>
    </x:xf>
    <x:xf numFmtId="0" fontId="9" fillId="6" borderId="18" xfId="0" applyNumberFormat="1" applyFont="1" applyFill="1" applyBorder="1" applyAlignment="1">
      <x:alignment horizontal="center" vertical="center"/>
    </x:xf>
    <x:xf numFmtId="0" fontId="9" fillId="8" borderId="17" xfId="0" applyNumberFormat="1" applyFont="1" applyFill="1" applyBorder="1" applyAlignment="1">
      <x:alignment horizontal="center" vertical="center"/>
    </x:xf>
    <x:xf numFmtId="0" fontId="10" fillId="8" borderId="17" xfId="0" applyNumberFormat="1" applyFont="1" applyFill="1" applyBorder="1" applyAlignment="1">
      <x:alignment horizontal="center" vertical="center"/>
    </x:xf>
    <x:xf numFmtId="0" fontId="10" fillId="8" borderId="19" xfId="0" applyNumberFormat="1" applyFont="1" applyFill="1" applyBorder="1" applyAlignment="1">
      <x:alignment horizontal="center" vertical="center"/>
    </x:xf>
    <x:xf numFmtId="200" fontId="10" fillId="8" borderId="19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20" xfId="0" applyNumberFormat="1" applyFont="1" applyFill="1" applyBorder="1"/>
    <x:xf numFmtId="0" fontId="11" fillId="8" borderId="21" xfId="0" applyNumberFormat="1" applyFont="1" applyFill="1" applyBorder="1"/>
    <x:xf numFmtId="0" fontId="11" fillId="8" borderId="22" xfId="0" applyNumberFormat="1" applyFont="1" applyFill="1" applyBorder="1"/>
    <x:xf numFmtId="0" fontId="11" fillId="8" borderId="20" xfId="0" applyNumberFormat="1" applyFont="1" applyFill="1" applyBorder="1" applyAlignment="1">
      <x:alignment horizontal="center"/>
    </x:xf>
    <x:xf numFmtId="0" fontId="11" fillId="8" borderId="21" xfId="0" applyNumberFormat="1" applyFont="1" applyFill="1" applyBorder="1" applyAlignment="1">
      <x:alignment horizontal="center"/>
    </x:xf>
    <x:xf numFmtId="0" fontId="11" fillId="8" borderId="22" xfId="0" applyNumberFormat="1" applyFont="1" applyFill="1" applyBorder="1" applyAlignment="1">
      <x:alignment horizontal="center"/>
    </x:xf>
    <x:xf numFmtId="0" fontId="11" fillId="8" borderId="20" xfId="0" applyNumberFormat="1" applyFont="1" applyFill="1" applyBorder="1" applyAlignment="1">
      <x:alignment horizontal="center" vertical="center"/>
    </x:xf>
    <x:xf numFmtId="0" fontId="11" fillId="8" borderId="21" xfId="0" applyNumberFormat="1" applyFont="1" applyFill="1" applyBorder="1" applyAlignment="1">
      <x:alignment horizontal="center" vertical="center"/>
    </x:xf>
    <x:xf numFmtId="0" fontId="11" fillId="8" borderId="22" xfId="0" applyNumberFormat="1" applyFont="1" applyFill="1" applyBorder="1" applyAlignment="1">
      <x:alignment horizontal="center" vertical="center"/>
    </x:xf>
    <x:xf numFmtId="0" fontId="12" fillId="8" borderId="20" xfId="0" applyNumberFormat="1" applyFont="1" applyFill="1" applyBorder="1" applyAlignment="1">
      <x:alignment horizontal="center" vertical="center"/>
    </x:xf>
    <x:xf numFmtId="0" fontId="13" fillId="8" borderId="21" xfId="0" applyNumberFormat="1" applyFont="1" applyFill="1" applyBorder="1" applyAlignment="1">
      <x:alignment horizontal="center" vertical="center"/>
    </x:xf>
    <x:xf numFmtId="200" fontId="13" fillId="8" borderId="21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horizontal="left"/>
    </x:xf>
    <x:xf numFmtId="0" fontId="14" fillId="6" borderId="0" xfId="0" applyNumberFormat="1" applyFont="1" applyFill="1" applyBorder="1" applyAlignment="1">
      <x:alignment horizontal="left" vertical="center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horizontal="left"/>
    </x:xf>
    <x:xf numFmtId="0" fontId="14" fillId="5" borderId="0" xfId="0" applyNumberFormat="1" applyFont="1" applyFill="1" applyBorder="1" applyAlignment="1">
      <x:alignment horizontal="left"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horizontal="center"/>
    </x:xf>
    <x:xf numFmtId="0" fontId="15" fillId="3" borderId="0" xfId="0" applyNumberFormat="1" applyFont="1" applyFill="1" applyBorder="1" applyAlignment="1">
      <x:alignment horizontal="center" vertical="center"/>
    </x:xf>
    <x:xf numFmtId="0" fontId="6" fillId="8" borderId="23" xfId="0" applyNumberFormat="1" applyFont="1" applyFill="1" applyBorder="1"/>
    <x:xf numFmtId="0" fontId="6" fillId="8" borderId="23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8" borderId="11" xfId="0" applyNumberFormat="1" applyFont="1" applyFill="1" applyBorder="1" applyAlignment="1">
      <x:alignment vertical="top" wrapText="1"/>
    </x:xf>
    <x:xf numFmtId="0" fontId="6" fillId="8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02A43"/>
      </x:font>
      <x:fill>
        <x:patternFill patternType="solid">
          <x:bgColor rgb="FFFFD166"/>
        </x:patternFill>
      </x:fill>
    </x:dxf>
    <x:dxf>
      <x:font>
        <x:b/>
        <x:color rgb="FF102A43"/>
      </x:font>
      <x:fill>
        <x:patternFill patternType="solid">
          <x:bgColor rgb="FFFFF4CC"/>
        </x:patternFill>
      </x:fill>
    </x:dxf>
    <x:dxf>
      <x:fill>
        <x:patternFill patternType="solid">
          <x:bgColor rgb="FFFAFC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31b1216a446a4" /><Relationship Type="http://schemas.openxmlformats.org/officeDocument/2006/relationships/theme" Target="/xl/theme/theme1.xml" Id="R6ac71138b9f940a0" /><Relationship Type="http://schemas.openxmlformats.org/officeDocument/2006/relationships/sharedStrings" Target="/xl/sharedStrings.xml" Id="R9e2b5545a24a4ead" /><Relationship Type="http://schemas.openxmlformats.org/officeDocument/2006/relationships/worksheet" Target="/xl/worksheets/sheet1.xml" Id="R2cc7dd7399544d61" /><Relationship Type="http://schemas.openxmlformats.org/officeDocument/2006/relationships/worksheet" Target="/xl/worksheets/sheet2.xml" Id="R89678c09d8704ba1" /><Relationship Type="http://schemas.openxmlformats.org/officeDocument/2006/relationships/worksheet" Target="/xl/worksheets/sheet3.xml" Id="Rdf8f612bd48e48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" hidden="0" customWidth="1"/>
    <x:col min="3" max="3" width="21" hidden="0" customWidth="1"/>
    <x:col min="4" max="4" width="10" hidden="0" customWidth="1"/>
    <x:col min="5" max="5" width="31" hidden="0" customWidth="1"/>
  </x:cols>
  <x:sheetData>
    <x:row r="1" ht="30" customHeight="1">
      <x:c r="A1" s="6" t="str">
        <x:v>太理保研清单 ①｜课程学分表</x:v>
      </x:c>
      <x:c r="B1" s="6"/>
      <x:c r="C1" s="6"/>
      <x:c r="D1" s="6"/>
      <x:c r="E1" s="6"/>
    </x:row>
    <x:row r="2" ht="30" customHeight="1">
      <x:c r="A2" s="6"/>
      <x:c r="B2" s="6"/>
      <x:c r="C2" s="6"/>
      <x:c r="D2" s="6"/>
      <x:c r="E2" s="6"/>
    </x:row>
    <x:row r="3" ht="25" customHeight="1">
      <x:c r="A3" s="10" t="str">
        <x:v>开学第一周填完  ·  高学分课优先  ·  每周动作必须可执行</x:v>
      </x:c>
      <x:c r="B3" s="10"/>
      <x:c r="C3" s="10"/>
      <x:c r="D3" s="10"/>
      <x:c r="E3" s="10"/>
    </x:row>
    <x:row r="4" ht="25" customHeight="1">
      <x:c r="A4" s="14" t="str">
        <x:v>课程学分按你提供的口径整理；不同专业、学期请以培养方案和任课教师通知为准</x:v>
      </x:c>
      <x:c r="B4" s="14"/>
      <x:c r="C4" s="14"/>
      <x:c r="D4" s="14"/>
      <x:c r="E4" s="14"/>
    </x:row>
    <x:row r="5" ht="25" customHeight="1">
      <x:c r="A5" s="23" t="str">
        <x:v>8门课｜合计20.5学分｜高数5.5学分，优先盯紧</x:v>
      </x:c>
      <x:c r="B5" s="24"/>
      <x:c r="C5" s="24"/>
      <x:c r="D5" s="24"/>
      <x:c r="E5" s="25"/>
    </x:row>
    <x:row r="6">
      <x:c r="A6" s="2"/>
      <x:c r="B6" s="2"/>
      <x:c r="C6" s="2"/>
      <x:c r="D6" s="2"/>
      <x:c r="E6" s="2"/>
    </x:row>
    <x:row r="7" ht="30" customHeight="1">
      <x:c r="A7" s="37" t="str">
        <x:v>课程名</x:v>
      </x:c>
      <x:c r="B7" s="38" t="str">
        <x:v>学分</x:v>
      </x:c>
      <x:c r="C7" s="38" t="str">
        <x:v>考核方式</x:v>
      </x:c>
      <x:c r="D7" s="38" t="str">
        <x:v>目标分</x:v>
      </x:c>
      <x:c r="E7" s="39" t="str">
        <x:v>每周动作</x:v>
      </x:c>
    </x:row>
    <x:row r="8" ht="46" customHeight="1">
      <x:c r="A8" s="60" t="str">
        <x:v>高等数学</x:v>
      </x:c>
      <x:c r="B8" s="72" t="n">
        <x:v>5.5</x:v>
      </x:c>
      <x:c r="C8" s="69" t="str">
        <x:v>考试＋过程考核</x:v>
      </x:c>
      <x:c r="D8" s="75" t="n">
        <x:v>90</x:v>
      </x:c>
      <x:c r="E8" s="62" t="str">
        <x:v>□ 作业当天清
□ 周末错题复盘</x:v>
      </x:c>
    </x:row>
    <x:row r="9" ht="46" customHeight="1">
      <x:c r="A9" s="63" t="str">
        <x:v>程序设计基础</x:v>
      </x:c>
      <x:c r="B9" s="73" t="n">
        <x:v>2</x:v>
      </x:c>
      <x:c r="C9" s="70" t="str">
        <x:v>上机／考试＋过程考核</x:v>
      </x:c>
      <x:c r="D9" s="76" t="n">
        <x:v>90</x:v>
      </x:c>
      <x:c r="E9" s="65" t="str">
        <x:v>□ 每周上机2次
□ 代码独立重写</x:v>
      </x:c>
    </x:row>
    <x:row r="10" ht="46" customHeight="1">
      <x:c r="A10" s="63" t="str">
        <x:v>大学英语</x:v>
      </x:c>
      <x:c r="B10" s="73" t="n">
        <x:v>3.5</x:v>
      </x:c>
      <x:c r="C10" s="70" t="str">
        <x:v>听说读写综合考核</x:v>
      </x:c>
      <x:c r="D10" s="76" t="n">
        <x:v>88</x:v>
      </x:c>
      <x:c r="E10" s="65" t="str">
        <x:v>□ 精读2篇
□ 听力练习3次</x:v>
      </x:c>
    </x:row>
    <x:row r="11" ht="46" customHeight="1">
      <x:c r="A11" s="63" t="str">
        <x:v>制图课（部分专业）</x:v>
      </x:c>
      <x:c r="B11" s="73" t="n">
        <x:v>2</x:v>
      </x:c>
      <x:c r="C11" s="70" t="str">
        <x:v>作业／图纸＋考核</x:v>
      </x:c>
      <x:c r="D11" s="76" t="n">
        <x:v>90</x:v>
      </x:c>
      <x:c r="E11" s="65" t="str">
        <x:v>□ 图纸当天改
□ 规范问题单独记</x:v>
      </x:c>
    </x:row>
    <x:row r="12" ht="46" customHeight="1">
      <x:c r="A12" s="63" t="str">
        <x:v>军事理论</x:v>
      </x:c>
      <x:c r="B12" s="73" t="n">
        <x:v>2</x:v>
      </x:c>
      <x:c r="C12" s="70" t="str">
        <x:v>过程＋考试</x:v>
      </x:c>
      <x:c r="D12" s="76" t="n">
        <x:v>85</x:v>
      </x:c>
      <x:c r="E12" s="65" t="str">
        <x:v>□ 每周归纳章节框架
□ 及时完成测验</x:v>
      </x:c>
    </x:row>
    <x:row r="13" ht="46" customHeight="1">
      <x:c r="A13" s="63" t="str">
        <x:v>体育</x:v>
      </x:c>
      <x:c r="B13" s="73" t="n">
        <x:v>1</x:v>
      </x:c>
      <x:c r="C13" s="70" t="str">
        <x:v>考勤＋课堂＋课外锻炼</x:v>
      </x:c>
      <x:c r="D13" s="76" t="n">
        <x:v>85</x:v>
      </x:c>
      <x:c r="E13" s="65" t="str">
        <x:v>□ 课外锻炼2次
□ 记录跑步／打卡</x:v>
      </x:c>
    </x:row>
    <x:row r="14" ht="46" customHeight="1">
      <x:c r="A14" s="63" t="str">
        <x:v>思想道德与法治</x:v>
      </x:c>
      <x:c r="B14" s="73" t="n">
        <x:v>2.5</x:v>
      </x:c>
      <x:c r="C14" s="70" t="str">
        <x:v>过程＋考试／作业</x:v>
      </x:c>
      <x:c r="D14" s="76" t="n">
        <x:v>88</x:v>
      </x:c>
      <x:c r="E14" s="65" t="str">
        <x:v>□ 课后整理框架
□ 提前准备作业</x:v>
      </x:c>
    </x:row>
    <x:row r="15" ht="46" customHeight="1">
      <x:c r="A15" s="66" t="str">
        <x:v>心理健康与安全教育</x:v>
      </x:c>
      <x:c r="B15" s="74" t="n">
        <x:v>2</x:v>
      </x:c>
      <x:c r="C15" s="71" t="str">
        <x:v>线上学习＋考试</x:v>
      </x:c>
      <x:c r="D15" s="77" t="n">
        <x:v>85</x:v>
      </x:c>
      <x:c r="E15" s="68" t="str">
        <x:v>□ 按周完成学习
□ 及时提交测验</x:v>
      </x:c>
    </x:row>
    <x:row r="16">
      <x:c r="A16" s="2"/>
      <x:c r="B16" s="2"/>
      <x:c r="C16" s="2"/>
      <x:c r="D16" s="2"/>
      <x:c r="E16" s="2"/>
    </x:row>
    <x:row r="17" ht="28" customHeight="1">
      <x:c r="A17" s="80" t="str">
        <x:v>本周原则：先盯高学分  ·  考核构成开课问清  ·  每周动作写具体</x:v>
      </x:c>
      <x:c r="B17" s="80"/>
      <x:c r="C17" s="80"/>
      <x:c r="D17" s="80"/>
      <x:c r="E17" s="80"/>
    </x:row>
    <x:row r="18">
      <x:c r="A18" s="2"/>
      <x:c r="B18" s="2"/>
      <x:c r="C18" s="2"/>
      <x:c r="D18" s="2"/>
      <x:c r="E18" s="2"/>
    </x:row>
    <x:row r="19" ht="30" customHeight="1">
      <x:c r="A19" s="84" t="str">
        <x:v>下一张：创新认定表｜评论区回复「竞赛」</x:v>
      </x:c>
      <x:c r="B19" s="84"/>
      <x:c r="C19" s="84"/>
      <x:c r="D19" s="84"/>
      <x:c r="E19" s="84"/>
    </x:row>
  </x:sheetData>
  <x:mergeCells>
    <x:mergeCell ref="A1:E2"/>
    <x:mergeCell ref="A3:E3"/>
    <x:mergeCell ref="A4:E4"/>
    <x:mergeCell ref="A5:E5"/>
    <x:mergeCell ref="A17:E17"/>
    <x:mergeCell ref="A19:E19"/>
  </x:mergeCells>
  <x:conditionalFormatting sqref="B8:B15">
    <x:cfRule type="cellIs" dxfId="0" priority="1" operator="greaterThanOrEqual">
      <x:formula>4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" hidden="0" customWidth="1"/>
    <x:col min="3" max="3" width="22" hidden="0" customWidth="1"/>
    <x:col min="4" max="4" width="10" hidden="0" customWidth="1"/>
    <x:col min="5" max="5" width="32" hidden="0" customWidth="1"/>
  </x:cols>
  <x:sheetData>
    <x:row r="1" ht="30" customHeight="1">
      <x:c r="A1" s="87" t="str">
        <x:v>太理保研清单 ①｜我的课程学分表</x:v>
      </x:c>
      <x:c r="B1" s="87"/>
      <x:c r="C1" s="87"/>
      <x:c r="D1" s="87"/>
      <x:c r="E1" s="87"/>
    </x:row>
    <x:row r="2" ht="30" customHeight="1">
      <x:c r="A2" s="87"/>
      <x:c r="B2" s="87"/>
      <x:c r="C2" s="87"/>
      <x:c r="D2" s="87"/>
      <x:c r="E2" s="87"/>
    </x:row>
    <x:row r="3" ht="28" customHeight="1">
      <x:c r="A3" s="95" t="str">
        <x:v>已填课程</x:v>
      </x:c>
      <x:c r="B3" s="101" t="n">
        <x:f>COUNTIF(A8:A37,"&lt;&gt;")</x:f>
        <x:v>8</x:v>
      </x:c>
      <x:c r="C3" s="96" t="str">
        <x:v>总学分</x:v>
      </x:c>
      <x:c r="D3" s="96" t="n">
        <x:f>SUM(B8:B37)</x:f>
        <x:v>20.5</x:v>
      </x:c>
      <x:c r="E3" s="97" t="str">
        <x:v>高学分自动标黄</x:v>
      </x:c>
    </x:row>
    <x:row r="4" ht="28" customHeight="1">
      <x:c r="A4" s="112" t="str">
        <x:v>目标均分</x:v>
      </x:c>
      <x:c r="B4" s="114" t="n">
        <x:f>IFERROR(SUMPRODUCT(B8:B37,D8:D37)/SUM(B8:B37),0)</x:f>
        <x:v>88.1951219512195</x:v>
      </x:c>
      <x:c r="C4" s="110" t="str">
        <x:v>目标分是个人计划，不是学校统一要求</x:v>
      </x:c>
      <x:c r="D4" s="110"/>
      <x:c r="E4" s="111"/>
    </x:row>
    <x:row r="5" ht="26" customHeight="1">
      <x:c r="A5" s="117" t="str">
        <x:v>填写顺序：先抄培养方案 → 开课问清考核构成 → 最后把目标拆成每周动作</x:v>
      </x:c>
      <x:c r="B5" s="117"/>
      <x:c r="C5" s="117"/>
      <x:c r="D5" s="117"/>
      <x:c r="E5" s="117"/>
    </x:row>
    <x:row r="6">
      <x:c r="A6" s="2"/>
      <x:c r="B6" s="2"/>
      <x:c r="C6" s="2"/>
      <x:c r="D6" s="2"/>
      <x:c r="E6" s="2"/>
    </x:row>
    <x:row r="7" ht="30" customHeight="1">
      <x:c r="A7" s="37" t="str">
        <x:v>课程名</x:v>
      </x:c>
      <x:c r="B7" s="38" t="str">
        <x:v>学分</x:v>
      </x:c>
      <x:c r="C7" s="38" t="str">
        <x:v>考核方式</x:v>
      </x:c>
      <x:c r="D7" s="38" t="str">
        <x:v>目标分</x:v>
      </x:c>
      <x:c r="E7" s="39" t="str">
        <x:v>每周动作</x:v>
      </x:c>
    </x:row>
    <x:row r="8" ht="35" customHeight="1">
      <x:c r="A8" s="61" t="str">
        <x:v>高等数学</x:v>
      </x:c>
      <x:c r="B8" s="72" t="n">
        <x:v>5.5</x:v>
      </x:c>
      <x:c r="C8" s="69" t="str">
        <x:v>考试＋过程考核</x:v>
      </x:c>
      <x:c r="D8" s="75" t="n">
        <x:v>90</x:v>
      </x:c>
      <x:c r="E8" s="61" t="str">
        <x:v>作业当天清；周末错题复盘</x:v>
      </x:c>
    </x:row>
    <x:row r="9" ht="35" customHeight="1">
      <x:c r="A9" s="64" t="str">
        <x:v>程序设计基础</x:v>
      </x:c>
      <x:c r="B9" s="73" t="n">
        <x:v>2</x:v>
      </x:c>
      <x:c r="C9" s="70" t="str">
        <x:v>上机／考试＋过程考核</x:v>
      </x:c>
      <x:c r="D9" s="76" t="n">
        <x:v>90</x:v>
      </x:c>
      <x:c r="E9" s="64" t="str">
        <x:v>每周上机2次；代码独立重写</x:v>
      </x:c>
    </x:row>
    <x:row r="10" ht="35" customHeight="1">
      <x:c r="A10" s="64" t="str">
        <x:v>大学英语</x:v>
      </x:c>
      <x:c r="B10" s="73" t="n">
        <x:v>3.5</x:v>
      </x:c>
      <x:c r="C10" s="70" t="str">
        <x:v>听说读写综合考核</x:v>
      </x:c>
      <x:c r="D10" s="76" t="n">
        <x:v>88</x:v>
      </x:c>
      <x:c r="E10" s="64" t="str">
        <x:v>精读2篇；听力练习3次</x:v>
      </x:c>
    </x:row>
    <x:row r="11" ht="35" customHeight="1">
      <x:c r="A11" s="64" t="str">
        <x:v>制图课（部分专业）</x:v>
      </x:c>
      <x:c r="B11" s="73" t="n">
        <x:v>2</x:v>
      </x:c>
      <x:c r="C11" s="70" t="str">
        <x:v>作业／图纸＋考核</x:v>
      </x:c>
      <x:c r="D11" s="76" t="n">
        <x:v>90</x:v>
      </x:c>
      <x:c r="E11" s="64" t="str">
        <x:v>图纸当天改；规范问题单独记</x:v>
      </x:c>
    </x:row>
    <x:row r="12" ht="35" customHeight="1">
      <x:c r="A12" s="64" t="str">
        <x:v>军事理论</x:v>
      </x:c>
      <x:c r="B12" s="73" t="n">
        <x:v>2</x:v>
      </x:c>
      <x:c r="C12" s="70" t="str">
        <x:v>过程＋考试</x:v>
      </x:c>
      <x:c r="D12" s="76" t="n">
        <x:v>85</x:v>
      </x:c>
      <x:c r="E12" s="64" t="str">
        <x:v>每周归纳章节框架；及时完成测验</x:v>
      </x:c>
    </x:row>
    <x:row r="13" ht="35" customHeight="1">
      <x:c r="A13" s="64" t="str">
        <x:v>体育</x:v>
      </x:c>
      <x:c r="B13" s="73" t="n">
        <x:v>1</x:v>
      </x:c>
      <x:c r="C13" s="70" t="str">
        <x:v>考勤＋课堂＋课外锻炼</x:v>
      </x:c>
      <x:c r="D13" s="76" t="n">
        <x:v>85</x:v>
      </x:c>
      <x:c r="E13" s="64" t="str">
        <x:v>课外锻炼2次；记录跑步／打卡</x:v>
      </x:c>
    </x:row>
    <x:row r="14" ht="35" customHeight="1">
      <x:c r="A14" s="64" t="str">
        <x:v>思想道德与法治</x:v>
      </x:c>
      <x:c r="B14" s="73" t="n">
        <x:v>2.5</x:v>
      </x:c>
      <x:c r="C14" s="70" t="str">
        <x:v>过程＋考试／作业</x:v>
      </x:c>
      <x:c r="D14" s="76" t="n">
        <x:v>88</x:v>
      </x:c>
      <x:c r="E14" s="64" t="str">
        <x:v>课后整理框架；提前准备作业</x:v>
      </x:c>
    </x:row>
    <x:row r="15" ht="35" customHeight="1">
      <x:c r="A15" s="64" t="str">
        <x:v>心理健康与安全教育</x:v>
      </x:c>
      <x:c r="B15" s="73" t="n">
        <x:v>2</x:v>
      </x:c>
      <x:c r="C15" s="70" t="str">
        <x:v>线上学习＋考试</x:v>
      </x:c>
      <x:c r="D15" s="76" t="n">
        <x:v>85</x:v>
      </x:c>
      <x:c r="E15" s="64" t="str">
        <x:v>按周完成学习；及时提交测验</x:v>
      </x:c>
    </x:row>
    <x:row r="16" ht="35" customHeight="1">
      <x:c r="A16" s="64"/>
      <x:c r="B16" s="73"/>
      <x:c r="C16" s="70"/>
      <x:c r="D16" s="76"/>
      <x:c r="E16" s="64"/>
    </x:row>
    <x:row r="17" ht="35" customHeight="1">
      <x:c r="A17" s="64"/>
      <x:c r="B17" s="73"/>
      <x:c r="C17" s="70"/>
      <x:c r="D17" s="76"/>
      <x:c r="E17" s="64"/>
    </x:row>
    <x:row r="18" ht="35" customHeight="1">
      <x:c r="A18" s="64"/>
      <x:c r="B18" s="73"/>
      <x:c r="C18" s="70"/>
      <x:c r="D18" s="76"/>
      <x:c r="E18" s="64"/>
    </x:row>
    <x:row r="19" ht="35" customHeight="1">
      <x:c r="A19" s="64"/>
      <x:c r="B19" s="73"/>
      <x:c r="C19" s="70"/>
      <x:c r="D19" s="76"/>
      <x:c r="E19" s="64"/>
    </x:row>
    <x:row r="20" ht="35" customHeight="1">
      <x:c r="A20" s="64"/>
      <x:c r="B20" s="73"/>
      <x:c r="C20" s="70"/>
      <x:c r="D20" s="76"/>
      <x:c r="E20" s="64"/>
    </x:row>
    <x:row r="21" ht="35" customHeight="1">
      <x:c r="A21" s="64"/>
      <x:c r="B21" s="73"/>
      <x:c r="C21" s="70"/>
      <x:c r="D21" s="76"/>
      <x:c r="E21" s="64"/>
    </x:row>
    <x:row r="22" ht="35" customHeight="1">
      <x:c r="A22" s="64"/>
      <x:c r="B22" s="73"/>
      <x:c r="C22" s="70"/>
      <x:c r="D22" s="76"/>
      <x:c r="E22" s="64"/>
    </x:row>
    <x:row r="23" ht="35" customHeight="1">
      <x:c r="A23" s="64"/>
      <x:c r="B23" s="73"/>
      <x:c r="C23" s="70"/>
      <x:c r="D23" s="76"/>
      <x:c r="E23" s="64"/>
    </x:row>
    <x:row r="24" ht="35" customHeight="1">
      <x:c r="A24" s="64"/>
      <x:c r="B24" s="73"/>
      <x:c r="C24" s="70"/>
      <x:c r="D24" s="76"/>
      <x:c r="E24" s="64"/>
    </x:row>
    <x:row r="25" ht="35" customHeight="1">
      <x:c r="A25" s="64"/>
      <x:c r="B25" s="73"/>
      <x:c r="C25" s="70"/>
      <x:c r="D25" s="76"/>
      <x:c r="E25" s="64"/>
    </x:row>
    <x:row r="26" ht="35" customHeight="1">
      <x:c r="A26" s="64"/>
      <x:c r="B26" s="73"/>
      <x:c r="C26" s="70"/>
      <x:c r="D26" s="76"/>
      <x:c r="E26" s="64"/>
    </x:row>
    <x:row r="27" ht="35" customHeight="1">
      <x:c r="A27" s="64"/>
      <x:c r="B27" s="73"/>
      <x:c r="C27" s="70"/>
      <x:c r="D27" s="76"/>
      <x:c r="E27" s="64"/>
    </x:row>
    <x:row r="28" ht="35" customHeight="1">
      <x:c r="A28" s="64"/>
      <x:c r="B28" s="73"/>
      <x:c r="C28" s="70"/>
      <x:c r="D28" s="76"/>
      <x:c r="E28" s="64"/>
    </x:row>
    <x:row r="29" ht="35" customHeight="1">
      <x:c r="A29" s="64"/>
      <x:c r="B29" s="73"/>
      <x:c r="C29" s="70"/>
      <x:c r="D29" s="76"/>
      <x:c r="E29" s="64"/>
    </x:row>
    <x:row r="30" ht="35" customHeight="1">
      <x:c r="A30" s="64"/>
      <x:c r="B30" s="73"/>
      <x:c r="C30" s="70"/>
      <x:c r="D30" s="76"/>
      <x:c r="E30" s="64"/>
    </x:row>
    <x:row r="31" ht="35" customHeight="1">
      <x:c r="A31" s="64"/>
      <x:c r="B31" s="73"/>
      <x:c r="C31" s="70"/>
      <x:c r="D31" s="76"/>
      <x:c r="E31" s="64"/>
    </x:row>
    <x:row r="32" ht="35" customHeight="1">
      <x:c r="A32" s="64"/>
      <x:c r="B32" s="73"/>
      <x:c r="C32" s="70"/>
      <x:c r="D32" s="76"/>
      <x:c r="E32" s="64"/>
    </x:row>
    <x:row r="33" ht="35" customHeight="1">
      <x:c r="A33" s="64"/>
      <x:c r="B33" s="73"/>
      <x:c r="C33" s="70"/>
      <x:c r="D33" s="76"/>
      <x:c r="E33" s="64"/>
    </x:row>
    <x:row r="34" ht="35" customHeight="1">
      <x:c r="A34" s="64"/>
      <x:c r="B34" s="73"/>
      <x:c r="C34" s="70"/>
      <x:c r="D34" s="76"/>
      <x:c r="E34" s="64"/>
    </x:row>
    <x:row r="35" ht="35" customHeight="1">
      <x:c r="A35" s="64"/>
      <x:c r="B35" s="73"/>
      <x:c r="C35" s="70"/>
      <x:c r="D35" s="76"/>
      <x:c r="E35" s="64"/>
    </x:row>
    <x:row r="36" ht="35" customHeight="1">
      <x:c r="A36" s="64"/>
      <x:c r="B36" s="73"/>
      <x:c r="C36" s="70"/>
      <x:c r="D36" s="76"/>
      <x:c r="E36" s="64"/>
    </x:row>
    <x:row r="37" ht="35" customHeight="1">
      <x:c r="A37" s="64"/>
      <x:c r="B37" s="73"/>
      <x:c r="C37" s="70"/>
      <x:c r="D37" s="76"/>
      <x:c r="E37" s="64"/>
    </x:row>
    <x:row r="38">
      <x:c r="A38" s="2"/>
      <x:c r="B38" s="2"/>
      <x:c r="C38" s="2"/>
      <x:c r="D38" s="2"/>
      <x:c r="E38" s="2"/>
    </x:row>
    <x:row r="39" ht="25" customHeight="1">
      <x:c r="A39" s="120" t="str">
        <x:v>已删除“平时分占比”：2026年起过程性考核口径提高，具体构成可由课程动态调整。</x:v>
      </x:c>
      <x:c r="B39" s="120"/>
      <x:c r="C39" s="120"/>
      <x:c r="D39" s="120"/>
      <x:c r="E39" s="120"/>
    </x:row>
    <x:row r="40" ht="25" customHeight="1">
      <x:c r="A40" s="123" t="str">
        <x:v>课程与学分以本人培养方案为准；制图课仅部分专业开设。</x:v>
      </x:c>
      <x:c r="B40" s="123"/>
      <x:c r="C40" s="123"/>
      <x:c r="D40" s="123"/>
      <x:c r="E40" s="123"/>
    </x:row>
  </x:sheetData>
  <x:mergeCells>
    <x:mergeCell ref="A1:E2"/>
    <x:mergeCell ref="C4:E4"/>
    <x:mergeCell ref="A5:E5"/>
    <x:mergeCell ref="A39:E39"/>
    <x:mergeCell ref="A40:E40"/>
  </x:mergeCells>
  <x:conditionalFormatting sqref="B8:B37">
    <x:cfRule type="cellIs" dxfId="1" priority="1" operator="greaterThanOrEqual">
      <x:formula>4</x:formula>
    </x:cfRule>
  </x:conditionalFormatting>
  <x:conditionalFormatting sqref="A8:A37">
    <x:cfRule type="containsBlanks" dxfId="2" priority="2"/>
  </x:conditionalFormatting>
  <x:dataValidations count="3">
    <x:dataValidation type="decimal" operator="between" sqref="B8:B37">
      <x:formula1>0.5</x:formula1>
      <x:formula2>10</x:formula2>
    </x:dataValidation>
    <x:dataValidation type="list" sqref="C8:C37">
      <x:formula1>"考试＋过程考核,上机／考试＋过程考核,听说读写综合考核,作业／图纸＋考核,过程＋考试,考勤＋课堂＋课外锻炼,过程＋考试／作业,线上学习＋考试,其他"</x:formula1>
    </x:dataValidation>
    <x:dataValidation type="whole" operator="between" sqref="D8:D37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4" hidden="0" customWidth="1"/>
    <x:col min="4" max="4" width="68" hidden="0" customWidth="1"/>
  </x:cols>
  <x:sheetData>
    <x:row r="1" ht="30" customHeight="1">
      <x:c r="A1" s="126" t="str">
        <x:v>课程学分表｜口径说明</x:v>
      </x:c>
      <x:c r="B1" s="126"/>
      <x:c r="C1" s="126"/>
      <x:c r="D1" s="126"/>
    </x:row>
    <x:row r="2" ht="30" customHeight="1">
      <x:c r="A2" s="126"/>
      <x:c r="B2" s="126"/>
      <x:c r="C2" s="126"/>
      <x:c r="D2" s="126"/>
    </x:row>
    <x:row r="3">
      <x:c r="A3" s="2"/>
      <x:c r="B3" s="2"/>
      <x:c r="C3" s="2"/>
      <x:c r="D3" s="2"/>
    </x:row>
    <x:row r="4" ht="28" customHeight="1">
      <x:c r="A4" s="37" t="str">
        <x:v>项目</x:v>
      </x:c>
      <x:c r="B4" s="38" t="str">
        <x:v>本表处理</x:v>
      </x:c>
      <x:c r="C4" s="38" t="str">
        <x:v>依据</x:v>
      </x:c>
      <x:c r="D4" s="39" t="str">
        <x:v>来源</x:v>
      </x:c>
    </x:row>
    <x:row r="5" ht="56" customHeight="1">
      <x:c r="A5" s="129" t="str">
        <x:v>课程学分</x:v>
      </x:c>
      <x:c r="B5" s="129" t="str">
        <x:v>按用户2026-08-25提供的8门课程填写</x:v>
      </x:c>
      <x:c r="C5" s="129" t="str">
        <x:v>不同专业可能存在差异</x:v>
      </x:c>
      <x:c r="D5" s="129" t="str">
        <x:v>用户提供</x:v>
      </x:c>
    </x:row>
    <x:row r="6" ht="56" customHeight="1">
      <x:c r="A6" s="130" t="str">
        <x:v>平时分占比</x:v>
      </x:c>
      <x:c r="B6" s="130" t="str">
        <x:v>整列删除</x:v>
      </x:c>
      <x:c r="C6" s="130" t="str">
        <x:v>2026年春起理论课过程性考核原则上不低于50%，且考核方式可动态调整</x:v>
      </x:c>
      <x:c r="D6" s="130" t="str">
        <x:v>https://jwc.tyut.edu.cn/__local/C/AE/5A/F1911054B12E6791B160550D1EC_B9C3A833_2BDCA.pdf</x:v>
      </x:c>
    </x:row>
    <x:row r="7" ht="56" customHeight="1">
      <x:c r="A7" s="130" t="str">
        <x:v>体育考核</x:v>
      </x:c>
      <x:c r="B7" s="130" t="str">
        <x:v>采用综合考核表述</x:v>
      </x:c>
      <x:c r="C7" s="130" t="str">
        <x:v>由考勤、课内教学和课外锻炼综合评定</x:v>
      </x:c>
      <x:c r="D7" s="130" t="str">
        <x:v>https://jwc.tyut.edu.cn/info/1359/7705.htm</x:v>
      </x:c>
    </x:row>
    <x:row r="8" ht="56" customHeight="1">
      <x:c r="A8" s="131" t="str">
        <x:v>心理健康与安全教育</x:v>
      </x:c>
      <x:c r="B8" s="131" t="str">
        <x:v>保留2学分</x:v>
      </x:c>
      <x:c r="C8" s="131" t="str">
        <x:v>2022版培养计划选课通知明确为2学分</x:v>
      </x:c>
      <x:c r="D8" s="131" t="str">
        <x:v>https://jwc.tyut.edu.cn/info/1057/15005.htm</x:v>
      </x:c>
    </x:row>
  </x:sheetData>
  <x:mergeCells>
    <x:mergeCell ref="A1:D2"/>
  </x:mergeCells>
  <x:pageMargins left="0.7" right="0.7" top="0.75" bottom="0.75" header="0.3" footer="0.3"/>
</x:worksheet>
</file>